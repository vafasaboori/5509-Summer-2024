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BC58C6B1-8752-B0C3-C2C4-DFD462C6FBCC}"/>
  <workbookPr date1904="1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vafa.saboorideilami/Documents/5509/Chapter 12/"/>
    </mc:Choice>
  </mc:AlternateContent>
  <xr:revisionPtr revIDLastSave="0" documentId="13_ncr:1_{89C5F93D-2F7D-054E-80D6-DD775BDCADFF}" xr6:coauthVersionLast="47" xr6:coauthVersionMax="47" xr10:uidLastSave="{00000000-0000-0000-0000-000000000000}"/>
  <bookViews>
    <workbookView xWindow="0" yWindow="500" windowWidth="28800" windowHeight="17500" tabRatio="702" xr2:uid="{00000000-000D-0000-FFFF-FFFF00000000}"/>
  </bookViews>
  <sheets>
    <sheet name="Queuing Simulator" sheetId="6" r:id="rId1"/>
    <sheet name="Sheet1" sheetId="2049" r:id="rId2"/>
  </sheets>
  <functionGroups builtInGroupCount="19"/>
  <definedNames>
    <definedName name="beta">#REF!</definedName>
    <definedName name="InitialTrend">#REF!</definedName>
    <definedName name="sencount" hidden="1">4</definedName>
    <definedName name="sencount2" hidden="1">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6" l="1"/>
  <c r="B13" i="6"/>
  <c r="B9" i="6"/>
  <c r="B8" i="6"/>
</calcChain>
</file>

<file path=xl/sharedStrings.xml><?xml version="1.0" encoding="utf-8"?>
<sst xmlns="http://schemas.openxmlformats.org/spreadsheetml/2006/main" count="32" uniqueCount="31">
  <si>
    <r>
      <t>L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</si>
  <si>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</si>
  <si>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</si>
  <si>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</si>
  <si>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</si>
  <si>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</si>
  <si>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</si>
  <si>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</si>
  <si>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 xml:space="preserve">7 </t>
    </r>
    <r>
      <rPr>
        <sz val="10"/>
        <rFont val="Arial"/>
        <family val="2"/>
      </rPr>
      <t>=</t>
    </r>
  </si>
  <si>
    <r>
      <t>P</t>
    </r>
    <r>
      <rPr>
        <vertAlign val="subscript"/>
        <sz val="10"/>
        <rFont val="Arial"/>
        <family val="2"/>
      </rPr>
      <t>8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</si>
  <si>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9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</si>
  <si>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=</t>
    </r>
  </si>
  <si>
    <t>Template for Queueing Simulation</t>
  </si>
  <si>
    <t>Number of Servers =</t>
  </si>
  <si>
    <t>Service Times</t>
  </si>
  <si>
    <t>Distribution =</t>
  </si>
  <si>
    <t>Interarrival Times</t>
  </si>
  <si>
    <t>Point</t>
  </si>
  <si>
    <t>Estimate</t>
  </si>
  <si>
    <t>Low</t>
  </si>
  <si>
    <t>High</t>
  </si>
  <si>
    <t>95% Confidence Interval</t>
  </si>
  <si>
    <t>L =</t>
  </si>
  <si>
    <t>W =</t>
  </si>
  <si>
    <t>Results</t>
  </si>
  <si>
    <t>Data</t>
  </si>
  <si>
    <t>Number of Arrivals =</t>
  </si>
  <si>
    <t>Length of Simulation Run</t>
  </si>
  <si>
    <t>Exponential</t>
  </si>
  <si>
    <t>Uniform</t>
  </si>
  <si>
    <r>
      <t>W</t>
    </r>
    <r>
      <rPr>
        <vertAlign val="subscript"/>
        <sz val="10"/>
        <color rgb="FFFF0000"/>
        <rFont val="Arial"/>
        <family val="2"/>
      </rPr>
      <t>q</t>
    </r>
    <r>
      <rPr>
        <sz val="10"/>
        <color rgb="FFFF0000"/>
        <rFont val="Arial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</si>
</sst>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name val="Geneva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vertAlign val="subscript"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/>
    <xf numFmtId="0" fontId="1" fillId="3" borderId="13" xfId="0" applyFont="1" applyFill="1" applyBorder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5" fillId="0" borderId="7" xfId="0" applyFont="1" applyBorder="1" applyAlignment="1">
      <alignment horizontal="right"/>
    </xf>
    <xf numFmtId="0" fontId="5" fillId="3" borderId="9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1026" name="AutoShape 2" descr="712ee6ff-9d2e-4cee-b5c5-e443afc55086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6</xdr:col>
      <xdr:colOff>108705</xdr:colOff>
      <xdr:row>12</xdr:row>
      <xdr:rowOff>150758</xdr:rowOff>
    </xdr:from>
    <xdr:to>
      <xdr:col>11</xdr:col>
      <xdr:colOff>181491</xdr:colOff>
      <xdr:row>19</xdr:row>
      <xdr:rowOff>170007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2B69BF-113C-974F-AE7C-06A59B3DC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7853" y="2308315"/>
          <a:ext cx="4503354" cy="13325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H21"/>
  <sheetViews>
    <sheetView tabSelected="1" zoomScale="176" workbookViewId="0">
      <selection activeCell="C17" sqref="C17"/>
    </sheetView>
  </sheetViews>
  <sheetFormatPr baseColWidth="10" defaultColWidth="10.83203125" defaultRowHeight="13" x14ac:dyDescent="0.15"/>
  <cols>
    <col min="1" max="1" width="2.83203125" style="1" customWidth="1"/>
    <col min="2" max="2" width="21.5" style="1" bestFit="1" customWidth="1"/>
    <col min="3" max="3" width="19.6640625" style="3" bestFit="1" customWidth="1"/>
    <col min="4" max="4" width="10.83203125" style="1" customWidth="1"/>
    <col min="5" max="5" width="5.5" style="1" customWidth="1"/>
    <col min="6" max="6" width="10.83203125" style="3" customWidth="1"/>
    <col min="7" max="8" width="12.83203125" style="1" customWidth="1"/>
    <col min="9" max="16384" width="10.83203125" style="1"/>
  </cols>
  <sheetData>
    <row r="1" spans="1:8" ht="18" x14ac:dyDescent="0.2">
      <c r="A1" s="2" t="s">
        <v>12</v>
      </c>
    </row>
    <row r="3" spans="1:8" ht="14" thickBot="1" x14ac:dyDescent="0.2">
      <c r="C3" s="4" t="s">
        <v>25</v>
      </c>
      <c r="F3" s="1"/>
      <c r="G3" s="5" t="s">
        <v>24</v>
      </c>
    </row>
    <row r="4" spans="1:8" x14ac:dyDescent="0.15">
      <c r="B4" s="14" t="s">
        <v>13</v>
      </c>
      <c r="C4" s="15">
        <v>2</v>
      </c>
      <c r="E4" s="6"/>
      <c r="F4" s="7" t="s">
        <v>17</v>
      </c>
      <c r="G4" s="23" t="s">
        <v>21</v>
      </c>
      <c r="H4" s="24"/>
    </row>
    <row r="5" spans="1:8" x14ac:dyDescent="0.15">
      <c r="E5" s="8"/>
      <c r="F5" s="9" t="s">
        <v>18</v>
      </c>
      <c r="G5" s="10" t="s">
        <v>19</v>
      </c>
      <c r="H5" s="11" t="s">
        <v>20</v>
      </c>
    </row>
    <row r="6" spans="1:8" x14ac:dyDescent="0.15">
      <c r="B6" s="5" t="s">
        <v>16</v>
      </c>
      <c r="E6" s="12" t="s">
        <v>22</v>
      </c>
      <c r="F6" s="17">
        <v>2.1085155411182859</v>
      </c>
      <c r="G6" s="18">
        <v>2.0714064942388521</v>
      </c>
      <c r="H6" s="19">
        <v>2.1456245879977196</v>
      </c>
    </row>
    <row r="7" spans="1:8" ht="15" x14ac:dyDescent="0.2">
      <c r="B7" s="14" t="s">
        <v>15</v>
      </c>
      <c r="C7" s="15" t="s">
        <v>28</v>
      </c>
      <c r="E7" s="12" t="s">
        <v>0</v>
      </c>
      <c r="F7" s="17">
        <v>0.70902317865479014</v>
      </c>
      <c r="G7" s="18">
        <v>0.67861797339103136</v>
      </c>
      <c r="H7" s="19">
        <v>0.73942838391854893</v>
      </c>
    </row>
    <row r="8" spans="1:8" x14ac:dyDescent="0.15">
      <c r="B8" s="14" t="str">
        <f>IF(C7="Constant","Value =",IF(C7="Erlang","Mean =",IF(C7="Exponential","Mean =",IF(C7="Translated Exponential","Minimum Value =","Minimum Value ="))))</f>
        <v>Mean =</v>
      </c>
      <c r="C8" s="15">
        <v>14.3</v>
      </c>
      <c r="E8" s="25" t="s">
        <v>23</v>
      </c>
      <c r="F8" s="26">
        <v>30.130177435565322</v>
      </c>
      <c r="G8" s="18">
        <v>29.735297630974845</v>
      </c>
      <c r="H8" s="19">
        <v>30.5250572401558</v>
      </c>
    </row>
    <row r="9" spans="1:8" ht="15" x14ac:dyDescent="0.2">
      <c r="B9" s="14" t="str">
        <f>IF(C7="Erlang","k =",IF(C7="Translated Exponential","Mean =",IF(C7="Uniform","Maximum Value =","")))</f>
        <v/>
      </c>
      <c r="C9" s="15"/>
      <c r="E9" s="25" t="s">
        <v>30</v>
      </c>
      <c r="F9" s="26">
        <v>10.131769845749936</v>
      </c>
      <c r="G9" s="18">
        <v>9.7387887728688156</v>
      </c>
      <c r="H9" s="19">
        <v>10.524750918631057</v>
      </c>
    </row>
    <row r="10" spans="1:8" x14ac:dyDescent="0.15">
      <c r="E10" s="12"/>
      <c r="F10" s="17"/>
      <c r="G10" s="18"/>
      <c r="H10" s="19"/>
    </row>
    <row r="11" spans="1:8" ht="15" x14ac:dyDescent="0.2">
      <c r="B11" s="5" t="s">
        <v>14</v>
      </c>
      <c r="E11" s="12" t="s">
        <v>1</v>
      </c>
      <c r="F11" s="17">
        <v>0.16645838750045897</v>
      </c>
      <c r="G11" s="18">
        <v>0.16325252998294126</v>
      </c>
      <c r="H11" s="19">
        <v>0.16966424501797667</v>
      </c>
    </row>
    <row r="12" spans="1:8" ht="15" x14ac:dyDescent="0.2">
      <c r="B12" s="14" t="s">
        <v>15</v>
      </c>
      <c r="C12" s="15" t="s">
        <v>29</v>
      </c>
      <c r="E12" s="12" t="s">
        <v>2</v>
      </c>
      <c r="F12" s="17">
        <v>0.26759086253557107</v>
      </c>
      <c r="G12" s="18">
        <v>0.26394728978203807</v>
      </c>
      <c r="H12" s="19">
        <v>0.27123443528910407</v>
      </c>
    </row>
    <row r="13" spans="1:8" ht="15" x14ac:dyDescent="0.2">
      <c r="B13" s="14" t="str">
        <f>IF(C12="Constant","Value =",IF(C12="Erlang","Mean =",IF(C12="Exponential","Mean =",IF(C12="Translated Exponential","Minimum Value =","Minimum Value ="))))</f>
        <v>Minimum Value =</v>
      </c>
      <c r="C13" s="15">
        <v>15</v>
      </c>
      <c r="E13" s="12" t="s">
        <v>3</v>
      </c>
      <c r="F13" s="17">
        <v>0.23271224918224448</v>
      </c>
      <c r="G13" s="18">
        <v>0.2300148960676496</v>
      </c>
      <c r="H13" s="19">
        <v>0.23540960229683935</v>
      </c>
    </row>
    <row r="14" spans="1:8" ht="15" x14ac:dyDescent="0.2">
      <c r="B14" s="14" t="str">
        <f>IF(C12="Erlang","k =",IF(C12="Translated Exponential","Mean =",IF(C12="Uniform","Maximum Value =","")))</f>
        <v>Maximum Value =</v>
      </c>
      <c r="C14" s="15">
        <v>25</v>
      </c>
      <c r="E14" s="12" t="s">
        <v>4</v>
      </c>
      <c r="F14" s="17">
        <v>0.1516263866460387</v>
      </c>
      <c r="G14" s="18">
        <v>0.14935752513060579</v>
      </c>
      <c r="H14" s="19">
        <v>0.1538952481614716</v>
      </c>
    </row>
    <row r="15" spans="1:8" ht="15" x14ac:dyDescent="0.2">
      <c r="E15" s="12" t="s">
        <v>5</v>
      </c>
      <c r="F15" s="17">
        <v>8.6523047608974252E-2</v>
      </c>
      <c r="G15" s="18">
        <v>8.4363878536729428E-2</v>
      </c>
      <c r="H15" s="19">
        <v>8.8682216681219075E-2</v>
      </c>
    </row>
    <row r="16" spans="1:8" ht="15" x14ac:dyDescent="0.2">
      <c r="B16" s="5" t="s">
        <v>27</v>
      </c>
      <c r="E16" s="12" t="s">
        <v>6</v>
      </c>
      <c r="F16" s="17">
        <v>4.6142533377553328E-2</v>
      </c>
      <c r="G16" s="18">
        <v>4.4224009366533458E-2</v>
      </c>
      <c r="H16" s="19">
        <v>4.8061057388573199E-2</v>
      </c>
    </row>
    <row r="17" spans="2:8" ht="15" x14ac:dyDescent="0.2">
      <c r="B17" s="14" t="s">
        <v>26</v>
      </c>
      <c r="C17" s="16">
        <v>100000</v>
      </c>
      <c r="E17" s="12" t="s">
        <v>7</v>
      </c>
      <c r="F17" s="17">
        <v>2.410378790157687E-2</v>
      </c>
      <c r="G17" s="18">
        <v>2.2534603779594733E-2</v>
      </c>
      <c r="H17" s="19">
        <v>2.5672972023559008E-2</v>
      </c>
    </row>
    <row r="18" spans="2:8" ht="15" x14ac:dyDescent="0.2">
      <c r="E18" s="12" t="s">
        <v>8</v>
      </c>
      <c r="F18" s="17">
        <v>1.2089044914612898E-2</v>
      </c>
      <c r="G18" s="18">
        <v>1.0920011758162524E-2</v>
      </c>
      <c r="H18" s="19">
        <v>1.3258078071063271E-2</v>
      </c>
    </row>
    <row r="19" spans="2:8" ht="15" x14ac:dyDescent="0.2">
      <c r="E19" s="12" t="s">
        <v>9</v>
      </c>
      <c r="F19" s="17">
        <v>6.4624298082252432E-3</v>
      </c>
      <c r="G19" s="18">
        <v>5.5835736764896209E-3</v>
      </c>
      <c r="H19" s="19">
        <v>7.3412859399608656E-3</v>
      </c>
    </row>
    <row r="20" spans="2:8" ht="15" x14ac:dyDescent="0.2">
      <c r="E20" s="12" t="s">
        <v>10</v>
      </c>
      <c r="F20" s="17">
        <v>3.3150692612911852E-3</v>
      </c>
      <c r="G20" s="18">
        <v>2.688168349029134E-3</v>
      </c>
      <c r="H20" s="19">
        <v>3.9419701735532364E-3</v>
      </c>
    </row>
    <row r="21" spans="2:8" ht="16" thickBot="1" x14ac:dyDescent="0.25">
      <c r="E21" s="13" t="s">
        <v>11</v>
      </c>
      <c r="F21" s="20">
        <v>1.4512940991104285E-3</v>
      </c>
      <c r="G21" s="21">
        <v>1.0662792849825944E-3</v>
      </c>
      <c r="H21" s="22">
        <v>1.8363089132382626E-3</v>
      </c>
    </row>
  </sheetData>
  <mergeCells count="1">
    <mergeCell ref="G4:H4"/>
  </mergeCells>
  <phoneticPr fontId="0" type="noConversion"/>
  <conditionalFormatting sqref="C9">
    <cfRule type="expression" dxfId="1" priority="1" stopIfTrue="1">
      <formula>OR(C7="Exponential",C7="Constant")</formula>
    </cfRule>
  </conditionalFormatting>
  <conditionalFormatting sqref="C14">
    <cfRule type="expression" dxfId="0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0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0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0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"/>
  <sheetViews>
    <sheetView workbookViewId="0"/>
  </sheetViews>
  <sheetFormatPr baseColWidth="10" defaultColWidth="10.83203125" defaultRowHeight="13" x14ac:dyDescent="0.15"/>
  <cols>
    <col min="1" max="16384" width="10.83203125" style="1"/>
  </cols>
  <sheetData/>
  <phoneticPr fontId="0" type="noConversion"/>
  <pageMargins left="0.75" right="0.75" top="1" bottom="1" header="0.5" footer="0.5"/>
  <pageSetup paperSize="0" orientation="landscape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Queuing Simulator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Hillier</dc:creator>
  <cp:lastModifiedBy>Microsoft Office User</cp:lastModifiedBy>
  <cp:lastPrinted>1999-06-01T06:51:53Z</cp:lastPrinted>
  <dcterms:created xsi:type="dcterms:W3CDTF">1999-02-21T04:48:26Z</dcterms:created>
  <dcterms:modified xsi:type="dcterms:W3CDTF">2023-06-22T04:39:04Z</dcterms:modified>
</cp:coreProperties>
</file>